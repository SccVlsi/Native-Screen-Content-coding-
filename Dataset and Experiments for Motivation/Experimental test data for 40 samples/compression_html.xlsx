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10"/>
  </bookViews>
  <sheets>
    <sheet name="compression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<sst xmlns="http://schemas.openxmlformats.org/spreadsheetml/2006/main" count="72" uniqueCount="51">
  <si>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>文本</t>
  </si>
  <si>
    <t>original_size_bytes</t>
  </si>
  <si>
    <t>7z</t>
  </si>
  <si>
    <t>yuv_size</t>
  </si>
  <si>
    <t>ECM_27_bin</t>
  </si>
  <si>
    <t>生成原压缩比</t>
  </si>
  <si>
    <t>像素压缩比</t>
  </si>
  <si>
    <t>0283_6_MN_4C_3P_Y.html</t>
  </si>
  <si>
    <t>0693_6_MN_3C_3P_N.html</t>
  </si>
  <si>
    <t>0353_6_MN_5C_3P_Y.html</t>
  </si>
  <si>
    <t>0642_8_MN_4C_2P_Y.html</t>
  </si>
  <si>
    <t>0040_9_MN_5C_2P_N.html</t>
  </si>
  <si>
    <t>0059_7_MN_4C_2P_N.html</t>
  </si>
  <si>
    <t>0043_7_MN_4C_2P_N.html</t>
  </si>
  <si>
    <t>0669_6_JA_4C_3P_N.html</t>
  </si>
  <si>
    <t>0971_6_KO_5C_3P_Y.html</t>
  </si>
  <si>
    <t>0644_6_ZH_5C_3P_Y.html</t>
  </si>
  <si>
    <t>平均值</t>
  </si>
  <si>
    <t>图标</t>
  </si>
  <si>
    <t>icons_799.html</t>
  </si>
  <si>
    <t>icons_350.html</t>
  </si>
  <si>
    <t>icons_396.html</t>
  </si>
  <si>
    <t>icons_562.html</t>
  </si>
  <si>
    <t>icons_866.html</t>
  </si>
  <si>
    <t>icons_457.html</t>
  </si>
  <si>
    <t>icons_621.html</t>
  </si>
  <si>
    <t>icons_84.html</t>
  </si>
  <si>
    <t>icons_559.html</t>
  </si>
  <si>
    <t>icons_197.html</t>
  </si>
  <si>
    <t>图表</t>
  </si>
  <si>
    <t>patent_analysis_3x6_0876.html</t>
  </si>
  <si>
    <t>patent_analysis_3x6_0275.html</t>
  </si>
  <si>
    <t>patent_analysis_3x6_0029.html</t>
  </si>
  <si>
    <t>patent_analysis_3x6_0616.html</t>
  </si>
  <si>
    <t>patent_analysis_3x5_0203.html</t>
  </si>
  <si>
    <t>patent_analysis_3x5_0182.html</t>
  </si>
  <si>
    <t>patent_analysis_3x5_0209.html</t>
  </si>
  <si>
    <t>patent_analysis_3x4_0658.html</t>
  </si>
  <si>
    <t>patent_analysis_3x4_0168.html</t>
  </si>
  <si>
    <t>patent_analysis_3x4_0468.html</t>
  </si>
  <si>
    <t>3D模型</t>
  </si>
  <si>
    <t>scene_0041.html</t>
  </si>
  <si>
    <t>scene_0043.html</t>
  </si>
  <si>
    <t>scene_0128.html</t>
  </si>
  <si>
    <t>scene_0284.html</t>
  </si>
  <si>
    <t>scene_0299.html</t>
  </si>
  <si>
    <t>scene_0423.html</t>
  </si>
  <si>
    <t>scene_0507.html</t>
  </si>
  <si>
    <t>scene_0613.html</t>
  </si>
  <si>
    <t>scene_0819.html</t>
  </si>
  <si>
    <t>scene_0895.html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</si>
</sst>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  <xf numFmtId="3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zoomScale="80" zoomScaleNormal="80" zoomScaleSheetLayoutView="60" topLeftCell="A13" workbookViewId="0">
      <selection activeCell="K44" sqref="K44"/>
    </sheetView>
  </sheetViews>
  <sheetFormatPr defaultColWidth="10" defaultRowHeight="14" outlineLevelCol="7"/>
  <cols>
    <col min="1" max="1" width="19.5545454545455" customWidth="1"/>
    <col min="2" max="2" width="19.2" customWidth="1"/>
    <col min="3" max="3" width="14.7818181818182" customWidth="1"/>
    <col min="4" max="4" width="15" customWidth="1"/>
    <col min="5" max="5" width="14.5545454545455" customWidth="1"/>
    <col min="6" max="6" width="19.7818181818182" customWidth="1"/>
    <col min="7" max="7" width="15.6636363636364" customWidth="1"/>
    <col min="8" max="8" width="12.8909090909091"/>
    <col min="10" max="10" width="12.8909090909091"/>
  </cols>
  <sheetData>
    <row r="1" spans="1:8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s="3" t="s">
        <v>7</v>
      </c>
      <c r="B2" s="4">
        <v>212997</v>
      </c>
      <c r="C2" s="4">
        <v>16643</v>
      </c>
      <c r="D2" s="4">
        <v>2926080</v>
      </c>
      <c r="E2" s="4">
        <v>121511</v>
      </c>
      <c r="F2">
        <f>B2/C2</f>
        <v>12.7979931502734</v>
      </c>
      <c r="G2">
        <f>D2/E2</f>
        <v>24.0807828097868</v>
      </c>
      <c r="H2">
        <f>E2/C2</f>
        <v>7.30102745899177</v>
      </c>
    </row>
    <row r="3" spans="1:8">
      <c r="A3" s="3" t="s">
        <v>8</v>
      </c>
      <c r="B3" s="4">
        <v>185512</v>
      </c>
      <c r="C3" s="4">
        <v>10768</v>
      </c>
      <c r="D3" s="4">
        <v>2926080</v>
      </c>
      <c r="E3" s="4">
        <v>103178</v>
      </c>
      <c r="F3">
        <f>B3/C3</f>
        <v>17.2280832095097</v>
      </c>
      <c r="G3">
        <f t="shared" ref="G3:G11" si="0">D3/E3</f>
        <v>28.359534009188</v>
      </c>
      <c r="H3">
        <f t="shared" ref="H3:H11" si="1">E3/C3</f>
        <v>9.58190936106984</v>
      </c>
    </row>
    <row r="4" spans="1:8">
      <c r="A4" s="3" t="s">
        <v>9</v>
      </c>
      <c r="B4" s="4">
        <v>167079</v>
      </c>
      <c r="C4" s="4">
        <v>13918</v>
      </c>
      <c r="D4" s="4">
        <v>2926080</v>
      </c>
      <c r="E4" s="4">
        <v>136462</v>
      </c>
      <c r="F4">
        <f t="shared" ref="F3:F11" si="2">B4/C4</f>
        <v>12.0045265124299</v>
      </c>
      <c r="G4">
        <f t="shared" si="0"/>
        <v>21.4424528440152</v>
      </c>
      <c r="H4">
        <f t="shared" si="1"/>
        <v>9.80471332087944</v>
      </c>
    </row>
    <row r="5" spans="1:8">
      <c r="A5" s="3" t="s">
        <v>10</v>
      </c>
      <c r="B5" s="4">
        <v>147406</v>
      </c>
      <c r="C5" s="4">
        <v>12162</v>
      </c>
      <c r="D5" s="4">
        <v>2926080</v>
      </c>
      <c r="E5" s="4">
        <v>66105</v>
      </c>
      <c r="F5">
        <f t="shared" si="2"/>
        <v>12.1202104916954</v>
      </c>
      <c r="G5">
        <f t="shared" si="0"/>
        <v>44.2641252552757</v>
      </c>
      <c r="H5">
        <f t="shared" si="1"/>
        <v>5.43537247163296</v>
      </c>
    </row>
    <row r="6" spans="1:8">
      <c r="A6" s="3" t="s">
        <v>11</v>
      </c>
      <c r="B6" s="4">
        <v>144594</v>
      </c>
      <c r="C6" s="4">
        <v>11633</v>
      </c>
      <c r="D6" s="4">
        <v>2926080</v>
      </c>
      <c r="E6" s="4">
        <v>85701</v>
      </c>
      <c r="F6">
        <f t="shared" si="2"/>
        <v>12.4296398177598</v>
      </c>
      <c r="G6">
        <f t="shared" si="0"/>
        <v>34.142892148283</v>
      </c>
      <c r="H6">
        <f t="shared" si="1"/>
        <v>7.36705922805811</v>
      </c>
    </row>
    <row r="7" spans="1:8">
      <c r="A7" s="3" t="s">
        <v>12</v>
      </c>
      <c r="B7" s="4">
        <v>133468</v>
      </c>
      <c r="C7" s="4">
        <v>11312</v>
      </c>
      <c r="D7" s="4">
        <v>2926080</v>
      </c>
      <c r="E7" s="4">
        <v>143475</v>
      </c>
      <c r="F7">
        <f t="shared" si="2"/>
        <v>11.7987977369165</v>
      </c>
      <c r="G7">
        <f t="shared" si="0"/>
        <v>20.3943544171458</v>
      </c>
      <c r="H7">
        <f t="shared" si="1"/>
        <v>12.6834335219236</v>
      </c>
    </row>
    <row r="8" spans="1:8">
      <c r="A8" s="3" t="s">
        <v>13</v>
      </c>
      <c r="B8" s="4">
        <v>129891</v>
      </c>
      <c r="C8" s="4">
        <v>10826</v>
      </c>
      <c r="D8" s="4">
        <v>2926080</v>
      </c>
      <c r="E8" s="4">
        <v>136775</v>
      </c>
      <c r="F8">
        <f t="shared" si="2"/>
        <v>11.9980602253833</v>
      </c>
      <c r="G8">
        <f t="shared" si="0"/>
        <v>21.3933832937306</v>
      </c>
      <c r="H8">
        <f t="shared" si="1"/>
        <v>12.6339368187696</v>
      </c>
    </row>
    <row r="9" spans="1:8">
      <c r="A9" s="3" t="s">
        <v>14</v>
      </c>
      <c r="B9" s="4">
        <v>100043</v>
      </c>
      <c r="C9" s="4">
        <v>14888</v>
      </c>
      <c r="D9" s="4">
        <v>2926080</v>
      </c>
      <c r="E9" s="4">
        <v>134369</v>
      </c>
      <c r="F9">
        <f t="shared" si="2"/>
        <v>6.71970714669532</v>
      </c>
      <c r="G9">
        <f t="shared" si="0"/>
        <v>21.7764514136445</v>
      </c>
      <c r="H9">
        <f t="shared" si="1"/>
        <v>9.0253224073079</v>
      </c>
    </row>
    <row r="10" spans="1:8">
      <c r="A10" s="3" t="s">
        <v>15</v>
      </c>
      <c r="B10" s="4">
        <v>88409</v>
      </c>
      <c r="C10" s="4">
        <v>10952</v>
      </c>
      <c r="D10" s="4">
        <v>2926080</v>
      </c>
      <c r="E10" s="4">
        <v>135663</v>
      </c>
      <c r="F10">
        <f t="shared" si="2"/>
        <v>8.07240686632579</v>
      </c>
      <c r="G10">
        <f t="shared" si="0"/>
        <v>21.5687401870812</v>
      </c>
      <c r="H10">
        <f t="shared" si="1"/>
        <v>12.3870525931337</v>
      </c>
    </row>
    <row r="11" spans="1:8">
      <c r="A11" s="3" t="s">
        <v>16</v>
      </c>
      <c r="B11" s="4">
        <v>74314</v>
      </c>
      <c r="C11" s="4">
        <v>15719</v>
      </c>
      <c r="D11" s="4">
        <v>2926080</v>
      </c>
      <c r="E11" s="4">
        <v>226809</v>
      </c>
      <c r="F11">
        <f t="shared" si="2"/>
        <v>4.72765443094344</v>
      </c>
      <c r="G11">
        <f t="shared" si="0"/>
        <v>12.9010753541526</v>
      </c>
      <c r="H11">
        <f t="shared" si="1"/>
        <v>14.4289713086074</v>
      </c>
    </row>
    <row r="12" spans="1:8">
      <c r="A12" s="5" t="s">
        <v>17</v>
      </c>
      <c r="B12" s="6">
        <f t="shared" ref="B12:H12" si="3">AVERAGE(B2:B11)</f>
        <v>138371.3</v>
      </c>
      <c r="C12" s="6">
        <f t="shared" si="3"/>
        <v>12882.1</v>
      </c>
      <c r="D12" s="6">
        <f t="shared" si="3"/>
        <v>2926080</v>
      </c>
      <c r="E12" s="6">
        <f t="shared" si="3"/>
        <v>129004.8</v>
      </c>
      <c r="F12" s="5">
        <f t="shared" si="3"/>
        <v>10.9897079587933</v>
      </c>
      <c r="G12" s="5">
        <f t="shared" si="3"/>
        <v>25.0323791732303</v>
      </c>
      <c r="H12" s="5">
        <f t="shared" si="3"/>
        <v>10.0648798490374</v>
      </c>
    </row>
    <row r="13" spans="1:8">
      <c r="B13" s="4"/>
      <c r="C13" s="4"/>
      <c r="D13" s="4"/>
    </row>
    <row r="14" spans="1:8">
      <c r="A14" t="s">
        <v>18</v>
      </c>
      <c r="B14" t="s">
        <v>1</v>
      </c>
      <c r="C14" s="2" t="s">
        <v>2</v>
      </c>
      <c r="D14" t="s">
        <v>3</v>
      </c>
      <c r="E14" t="s">
        <v>4</v>
      </c>
      <c r="F14" t="s">
        <v>5</v>
      </c>
      <c r="G14" t="s">
        <v>6</v>
      </c>
    </row>
    <row r="15" spans="1:8">
      <c r="A15" s="3" t="s">
        <v>19</v>
      </c>
      <c r="B15" s="4">
        <v>534126</v>
      </c>
      <c r="C15" s="4">
        <v>12756</v>
      </c>
      <c r="D15" s="4">
        <v>2926080</v>
      </c>
      <c r="E15" s="4">
        <v>36167</v>
      </c>
      <c r="F15">
        <f t="shared" ref="F15:F49" si="4">B15/C15</f>
        <v>41.8725305738476</v>
      </c>
      <c r="G15">
        <f>D15/E15</f>
        <v>80.9046921226532</v>
      </c>
      <c r="H15">
        <f t="shared" ref="H12:H50" si="5">E15/C15</f>
        <v>2.83529319535905</v>
      </c>
    </row>
    <row r="16" spans="1:8">
      <c r="A16" s="3" t="s">
        <v>20</v>
      </c>
      <c r="B16" s="4">
        <v>529174</v>
      </c>
      <c r="C16" s="4">
        <v>12824</v>
      </c>
      <c r="D16" s="4">
        <v>2926080</v>
      </c>
      <c r="E16" s="4">
        <v>36567</v>
      </c>
      <c r="F16">
        <f t="shared" si="4"/>
        <v>41.2643480973175</v>
      </c>
      <c r="G16">
        <f t="shared" ref="G15:G49" si="6">D16/E16</f>
        <v>80.0196898843219</v>
      </c>
      <c r="H16">
        <f t="shared" si="5"/>
        <v>2.85145040548971</v>
      </c>
    </row>
    <row r="17" spans="1:8">
      <c r="A17" s="3" t="s">
        <v>21</v>
      </c>
      <c r="B17" s="4">
        <v>528000</v>
      </c>
      <c r="C17" s="4">
        <v>12765</v>
      </c>
      <c r="D17" s="4">
        <v>2926080</v>
      </c>
      <c r="E17" s="4">
        <v>33307</v>
      </c>
      <c r="F17">
        <f t="shared" si="4"/>
        <v>41.3631022326675</v>
      </c>
      <c r="G17">
        <f t="shared" si="6"/>
        <v>87.8518029243102</v>
      </c>
      <c r="H17">
        <f t="shared" si="5"/>
        <v>2.60924402663533</v>
      </c>
    </row>
    <row r="18" spans="1:8">
      <c r="A18" s="3" t="s">
        <v>22</v>
      </c>
      <c r="B18" s="4">
        <v>526887</v>
      </c>
      <c r="C18" s="4">
        <v>12917</v>
      </c>
      <c r="D18" s="4">
        <v>2926080</v>
      </c>
      <c r="E18" s="4">
        <v>36425</v>
      </c>
      <c r="F18">
        <f t="shared" si="4"/>
        <v>40.7901989626074</v>
      </c>
      <c r="G18">
        <f t="shared" si="6"/>
        <v>80.3316403568977</v>
      </c>
      <c r="H18">
        <f t="shared" si="5"/>
        <v>2.81992722768445</v>
      </c>
    </row>
    <row r="19" spans="1:8">
      <c r="A19" s="3" t="s">
        <v>23</v>
      </c>
      <c r="B19" s="4">
        <v>526021</v>
      </c>
      <c r="C19" s="4">
        <v>12834</v>
      </c>
      <c r="D19" s="4">
        <v>2926080</v>
      </c>
      <c r="E19" s="4">
        <v>35395</v>
      </c>
      <c r="F19">
        <f t="shared" si="4"/>
        <v>40.9865201807698</v>
      </c>
      <c r="G19">
        <f t="shared" si="6"/>
        <v>82.6693035739511</v>
      </c>
      <c r="H19">
        <f t="shared" si="5"/>
        <v>2.75790868006857</v>
      </c>
    </row>
    <row r="20" spans="1:8">
      <c r="A20" s="3" t="s">
        <v>24</v>
      </c>
      <c r="B20" s="4">
        <v>525248</v>
      </c>
      <c r="C20" s="4">
        <v>12912</v>
      </c>
      <c r="D20" s="4">
        <v>2926080</v>
      </c>
      <c r="E20" s="4">
        <v>35801</v>
      </c>
      <c r="F20">
        <f t="shared" si="4"/>
        <v>40.6790582403965</v>
      </c>
      <c r="G20">
        <f t="shared" si="6"/>
        <v>81.7317952012514</v>
      </c>
      <c r="H20">
        <f t="shared" si="5"/>
        <v>2.77269206939281</v>
      </c>
    </row>
    <row r="21" spans="1:8">
      <c r="A21" s="3" t="s">
        <v>25</v>
      </c>
      <c r="B21" s="4">
        <v>523600</v>
      </c>
      <c r="C21" s="4">
        <v>12791</v>
      </c>
      <c r="D21" s="4">
        <v>2926080</v>
      </c>
      <c r="E21" s="4">
        <v>34501</v>
      </c>
      <c r="F21">
        <f t="shared" si="4"/>
        <v>40.9350324446877</v>
      </c>
      <c r="G21">
        <f t="shared" si="6"/>
        <v>84.8114547404423</v>
      </c>
      <c r="H21">
        <f t="shared" si="5"/>
        <v>2.69728715503088</v>
      </c>
    </row>
    <row r="22" spans="1:8">
      <c r="A22" s="3" t="s">
        <v>26</v>
      </c>
      <c r="B22" s="4">
        <v>523016</v>
      </c>
      <c r="C22" s="4">
        <v>12838</v>
      </c>
      <c r="D22" s="4">
        <v>2926080</v>
      </c>
      <c r="E22" s="4">
        <v>36419</v>
      </c>
      <c r="F22">
        <f t="shared" si="4"/>
        <v>40.739679077738</v>
      </c>
      <c r="G22">
        <f t="shared" si="6"/>
        <v>80.3448749279222</v>
      </c>
      <c r="H22">
        <f t="shared" si="5"/>
        <v>2.83681258763047</v>
      </c>
    </row>
    <row r="23" spans="1:8">
      <c r="A23" s="3" t="s">
        <v>27</v>
      </c>
      <c r="B23" s="4">
        <v>521600</v>
      </c>
      <c r="C23" s="4">
        <v>12793</v>
      </c>
      <c r="D23" s="4">
        <v>2926080</v>
      </c>
      <c r="E23" s="4">
        <v>33563</v>
      </c>
      <c r="F23">
        <f t="shared" si="4"/>
        <v>40.7722973501133</v>
      </c>
      <c r="G23">
        <f t="shared" si="6"/>
        <v>87.1817179632333</v>
      </c>
      <c r="H23">
        <f t="shared" si="5"/>
        <v>2.62354412569374</v>
      </c>
    </row>
    <row r="24" spans="1:8">
      <c r="A24" s="3" t="s">
        <v>28</v>
      </c>
      <c r="B24" s="4">
        <v>521175</v>
      </c>
      <c r="C24" s="4">
        <v>12872</v>
      </c>
      <c r="D24" s="4">
        <v>2926080</v>
      </c>
      <c r="E24" s="4">
        <v>36586</v>
      </c>
      <c r="F24">
        <f t="shared" si="4"/>
        <v>40.4890459912989</v>
      </c>
      <c r="G24">
        <f t="shared" si="6"/>
        <v>79.978133712349</v>
      </c>
      <c r="H24">
        <f t="shared" si="5"/>
        <v>2.84229334990677</v>
      </c>
    </row>
    <row r="25" spans="1:8">
      <c r="A25" s="5" t="s">
        <v>17</v>
      </c>
      <c r="B25" s="6">
        <f t="shared" ref="B25:H25" si="7">AVERAGE(B15:B24)</f>
        <v>525884.7</v>
      </c>
      <c r="C25" s="6">
        <f t="shared" si="7"/>
        <v>12830.2</v>
      </c>
      <c r="D25" s="6">
        <f t="shared" si="7"/>
        <v>2926080</v>
      </c>
      <c r="E25" s="6">
        <f t="shared" si="7"/>
        <v>35473.1</v>
      </c>
      <c r="F25" s="5">
        <f t="shared" si="7"/>
        <v>40.9891813151444</v>
      </c>
      <c r="G25" s="5">
        <f t="shared" si="7"/>
        <v>82.5825105407332</v>
      </c>
      <c r="H25" s="5">
        <f t="shared" si="7"/>
        <v>2.76464528228918</v>
      </c>
    </row>
    <row r="26" spans="1:8">
      <c r="B26" s="4"/>
      <c r="C26" s="4"/>
      <c r="D26" s="4"/>
    </row>
    <row r="27" spans="1:8">
      <c r="A27" t="s">
        <v>29</v>
      </c>
      <c r="B27" t="s">
        <v>1</v>
      </c>
      <c r="C27" s="2" t="s">
        <v>2</v>
      </c>
      <c r="D27" t="s">
        <v>3</v>
      </c>
      <c r="E27" t="s">
        <v>4</v>
      </c>
      <c r="F27" t="s">
        <v>5</v>
      </c>
      <c r="G27" t="s">
        <v>6</v>
      </c>
    </row>
    <row r="28" spans="1:8">
      <c r="A28" s="3" t="s">
        <v>30</v>
      </c>
      <c r="B28" s="4">
        <v>94269</v>
      </c>
      <c r="C28" s="4">
        <v>29623</v>
      </c>
      <c r="D28" s="4">
        <v>2926080</v>
      </c>
      <c r="E28" s="4">
        <v>38327</v>
      </c>
      <c r="F28">
        <f t="shared" si="4"/>
        <v>3.18229078756372</v>
      </c>
      <c r="G28">
        <f t="shared" si="6"/>
        <v>76.3451352832207</v>
      </c>
      <c r="H28">
        <f t="shared" si="5"/>
        <v>1.29382574351011</v>
      </c>
    </row>
    <row r="29" spans="1:8">
      <c r="A29" s="3" t="s">
        <v>31</v>
      </c>
      <c r="B29" s="4">
        <v>93212</v>
      </c>
      <c r="C29" s="4">
        <v>28145</v>
      </c>
      <c r="D29" s="4">
        <v>2926080</v>
      </c>
      <c r="E29" s="4">
        <v>38428</v>
      </c>
      <c r="F29">
        <f t="shared" si="4"/>
        <v>3.31184935157222</v>
      </c>
      <c r="G29">
        <f t="shared" si="6"/>
        <v>76.1444779848027</v>
      </c>
      <c r="H29">
        <f t="shared" si="5"/>
        <v>1.36535796766744</v>
      </c>
    </row>
    <row r="30" spans="1:8">
      <c r="A30" s="3" t="s">
        <v>32</v>
      </c>
      <c r="B30" s="4">
        <v>92515</v>
      </c>
      <c r="C30" s="4">
        <v>29293</v>
      </c>
      <c r="D30" s="4">
        <v>2926080</v>
      </c>
      <c r="E30" s="4">
        <v>38726</v>
      </c>
      <c r="F30">
        <f t="shared" si="4"/>
        <v>3.15826306626156</v>
      </c>
      <c r="G30">
        <f t="shared" si="6"/>
        <v>75.5585394825182</v>
      </c>
      <c r="H30">
        <f t="shared" si="5"/>
        <v>1.32202232615301</v>
      </c>
    </row>
    <row r="31" spans="1:8">
      <c r="A31" s="3" t="s">
        <v>33</v>
      </c>
      <c r="B31" s="4">
        <v>89825</v>
      </c>
      <c r="C31" s="4">
        <v>28689</v>
      </c>
      <c r="D31" s="4">
        <v>2926080</v>
      </c>
      <c r="E31" s="4">
        <v>38341</v>
      </c>
      <c r="F31">
        <f t="shared" si="4"/>
        <v>3.1309909721496</v>
      </c>
      <c r="G31">
        <f t="shared" si="6"/>
        <v>76.3172582874729</v>
      </c>
      <c r="H31">
        <f t="shared" si="5"/>
        <v>1.33643556763916</v>
      </c>
    </row>
    <row r="32" spans="1:8">
      <c r="A32" s="3" t="s">
        <v>34</v>
      </c>
      <c r="B32" s="4">
        <v>76222</v>
      </c>
      <c r="C32" s="4">
        <v>23990</v>
      </c>
      <c r="D32" s="4">
        <v>2926080</v>
      </c>
      <c r="E32" s="4">
        <v>33857</v>
      </c>
      <c r="F32">
        <f t="shared" si="4"/>
        <v>3.17724051688203</v>
      </c>
      <c r="G32">
        <f t="shared" si="6"/>
        <v>86.4246684585167</v>
      </c>
      <c r="H32">
        <f t="shared" si="5"/>
        <v>1.41129637348895</v>
      </c>
    </row>
    <row r="33" spans="1:8">
      <c r="A33" s="3" t="s">
        <v>35</v>
      </c>
      <c r="B33" s="4">
        <v>74670</v>
      </c>
      <c r="C33" s="4">
        <v>22715</v>
      </c>
      <c r="D33" s="4">
        <v>2926080</v>
      </c>
      <c r="E33" s="4">
        <v>38402</v>
      </c>
      <c r="F33">
        <f t="shared" si="4"/>
        <v>3.28725511776359</v>
      </c>
      <c r="G33">
        <f t="shared" si="6"/>
        <v>76.196031456695</v>
      </c>
      <c r="H33">
        <f t="shared" si="5"/>
        <v>1.69060092449923</v>
      </c>
    </row>
    <row r="34" spans="1:8">
      <c r="A34" s="3" t="s">
        <v>36</v>
      </c>
      <c r="B34" s="4">
        <v>73476</v>
      </c>
      <c r="C34" s="4">
        <v>24706</v>
      </c>
      <c r="D34" s="4">
        <v>2926080</v>
      </c>
      <c r="E34" s="4">
        <v>32350</v>
      </c>
      <c r="F34">
        <f t="shared" si="4"/>
        <v>2.97401440945519</v>
      </c>
      <c r="G34">
        <f t="shared" si="6"/>
        <v>90.4506955177743</v>
      </c>
      <c r="H34">
        <f t="shared" si="5"/>
        <v>1.30939852667368</v>
      </c>
    </row>
    <row r="35" spans="1:8">
      <c r="A35" s="3" t="s">
        <v>37</v>
      </c>
      <c r="B35" s="4">
        <v>62078</v>
      </c>
      <c r="C35" s="4">
        <v>19982</v>
      </c>
      <c r="D35" s="4">
        <v>2926080</v>
      </c>
      <c r="E35" s="4">
        <v>34037</v>
      </c>
      <c r="F35">
        <f t="shared" si="4"/>
        <v>3.10669602642378</v>
      </c>
      <c r="G35">
        <f t="shared" si="6"/>
        <v>85.9676234685783</v>
      </c>
      <c r="H35">
        <f t="shared" si="5"/>
        <v>1.70338304474027</v>
      </c>
    </row>
    <row r="36" spans="1:8">
      <c r="A36" s="3" t="s">
        <v>38</v>
      </c>
      <c r="B36" s="4">
        <v>60866</v>
      </c>
      <c r="C36" s="4">
        <v>18732</v>
      </c>
      <c r="D36" s="4">
        <v>2926080</v>
      </c>
      <c r="E36" s="4">
        <v>33524</v>
      </c>
      <c r="F36">
        <f t="shared" si="4"/>
        <v>3.24930600042708</v>
      </c>
      <c r="G36">
        <f t="shared" si="6"/>
        <v>87.2831404367021</v>
      </c>
      <c r="H36">
        <f t="shared" si="5"/>
        <v>1.7896647448217</v>
      </c>
    </row>
    <row r="37" spans="1:8">
      <c r="A37" s="3" t="s">
        <v>39</v>
      </c>
      <c r="B37" s="4">
        <v>59352</v>
      </c>
      <c r="C37" s="4">
        <v>19416</v>
      </c>
      <c r="D37" s="4">
        <v>2926080</v>
      </c>
      <c r="E37" s="4">
        <v>38572</v>
      </c>
      <c r="F37">
        <f t="shared" si="4"/>
        <v>3.05686032138443</v>
      </c>
      <c r="G37">
        <f t="shared" si="6"/>
        <v>75.8602094783781</v>
      </c>
      <c r="H37">
        <f t="shared" si="5"/>
        <v>1.98660898228265</v>
      </c>
    </row>
    <row r="38" spans="1:8">
      <c r="A38" s="5" t="s">
        <v>17</v>
      </c>
      <c r="B38" s="6">
        <f t="shared" ref="B38:H38" si="8">AVERAGE(B28:B37)</f>
        <v>77648.5</v>
      </c>
      <c r="C38" s="6">
        <f t="shared" si="8"/>
        <v>24529.1</v>
      </c>
      <c r="D38" s="6">
        <f t="shared" si="8"/>
        <v>2926080</v>
      </c>
      <c r="E38" s="6">
        <f t="shared" si="8"/>
        <v>36456.4</v>
      </c>
      <c r="F38" s="5">
        <f t="shared" si="8"/>
        <v>3.16347665698832</v>
      </c>
      <c r="G38" s="5">
        <f t="shared" si="8"/>
        <v>80.6547779854659</v>
      </c>
      <c r="H38" s="5">
        <f t="shared" si="8"/>
        <v>1.52085942014762</v>
      </c>
    </row>
    <row r="39" spans="1:8">
      <c r="B39" s="4"/>
      <c r="C39" s="4"/>
      <c r="D39" s="4"/>
    </row>
    <row r="40" spans="1:8">
      <c r="A40" t="s">
        <v>40</v>
      </c>
      <c r="B40" t="s">
        <v>1</v>
      </c>
      <c r="C40" s="2" t="s">
        <v>2</v>
      </c>
      <c r="D40" t="s">
        <v>3</v>
      </c>
      <c r="E40" t="s">
        <v>4</v>
      </c>
      <c r="F40" t="s">
        <v>5</v>
      </c>
      <c r="G40" t="s">
        <v>6</v>
      </c>
    </row>
    <row r="41" spans="1:8">
      <c r="A41" s="3" t="s">
        <v>41</v>
      </c>
      <c r="B41" s="4">
        <v>22715</v>
      </c>
      <c r="C41" s="4">
        <v>6278</v>
      </c>
      <c r="D41" s="4">
        <v>2926080</v>
      </c>
      <c r="E41" s="4">
        <v>51471</v>
      </c>
      <c r="F41">
        <f>B41/C41</f>
        <v>3.61819050653074</v>
      </c>
      <c r="G41">
        <f t="shared" ref="G41:G50" si="9">D41/E41</f>
        <v>56.8490994929183</v>
      </c>
      <c r="H41">
        <f>E41/C41</f>
        <v>8.1986301369863</v>
      </c>
    </row>
    <row r="42" spans="1:8">
      <c r="A42" s="3" t="s">
        <v>42</v>
      </c>
      <c r="B42" s="4">
        <v>24726</v>
      </c>
      <c r="C42" s="4">
        <v>6704</v>
      </c>
      <c r="D42" s="4">
        <v>2926080</v>
      </c>
      <c r="E42" s="4">
        <v>47890</v>
      </c>
      <c r="F42">
        <f t="shared" ref="F41:F50" si="10">B42/C42</f>
        <v>3.68824582338902</v>
      </c>
      <c r="G42">
        <f t="shared" si="9"/>
        <v>61.1000208811861</v>
      </c>
      <c r="H42">
        <f t="shared" si="5"/>
        <v>7.14349642004773</v>
      </c>
    </row>
    <row r="43" spans="1:8">
      <c r="A43" s="3" t="s">
        <v>43</v>
      </c>
      <c r="B43" s="4">
        <v>45849</v>
      </c>
      <c r="C43" s="4">
        <v>6159</v>
      </c>
      <c r="D43" s="4">
        <v>2926080</v>
      </c>
      <c r="E43" s="4">
        <v>43643</v>
      </c>
      <c r="F43">
        <f t="shared" si="10"/>
        <v>7.44422795908427</v>
      </c>
      <c r="G43">
        <f t="shared" si="9"/>
        <v>67.0458034507252</v>
      </c>
      <c r="H43">
        <f t="shared" si="5"/>
        <v>7.08605293067056</v>
      </c>
    </row>
    <row r="44" spans="1:8">
      <c r="A44" s="3" t="s">
        <v>44</v>
      </c>
      <c r="B44" s="4">
        <v>30772</v>
      </c>
      <c r="C44" s="4">
        <v>7815</v>
      </c>
      <c r="D44" s="4">
        <v>2926080</v>
      </c>
      <c r="E44" s="4">
        <v>46012</v>
      </c>
      <c r="F44">
        <f t="shared" si="10"/>
        <v>3.93755598208573</v>
      </c>
      <c r="G44">
        <f t="shared" si="9"/>
        <v>63.5938450838912</v>
      </c>
      <c r="H44">
        <f t="shared" si="5"/>
        <v>5.88765195137556</v>
      </c>
    </row>
    <row r="45" s="1" customFormat="1" spans="1:8">
      <c r="A45" s="3" t="s">
        <v>45</v>
      </c>
      <c r="B45" s="7">
        <v>18266</v>
      </c>
      <c r="C45" s="7">
        <v>5133</v>
      </c>
      <c r="D45" s="7">
        <v>2926080</v>
      </c>
      <c r="E45" s="7">
        <v>77254</v>
      </c>
      <c r="F45" s="1">
        <f t="shared" si="10"/>
        <v>3.55854276251705</v>
      </c>
      <c r="G45" s="1">
        <f t="shared" si="9"/>
        <v>37.8760970305745</v>
      </c>
      <c r="H45" s="1">
        <f t="shared" si="5"/>
        <v>15.0504578219365</v>
      </c>
    </row>
    <row r="46" spans="1:8">
      <c r="A46" s="3" t="s">
        <v>46</v>
      </c>
      <c r="B46" s="4">
        <v>59021</v>
      </c>
      <c r="C46" s="4">
        <v>6066</v>
      </c>
      <c r="D46" s="4">
        <v>2926080</v>
      </c>
      <c r="E46" s="4">
        <v>47156</v>
      </c>
      <c r="F46">
        <f t="shared" si="10"/>
        <v>9.72980547312891</v>
      </c>
      <c r="G46">
        <f t="shared" si="9"/>
        <v>62.0510645517007</v>
      </c>
      <c r="H46">
        <f t="shared" si="5"/>
        <v>7.77382129904385</v>
      </c>
    </row>
    <row r="47" spans="1:8">
      <c r="A47" s="3" t="s">
        <v>47</v>
      </c>
      <c r="B47" s="4">
        <v>15009</v>
      </c>
      <c r="C47" s="4">
        <v>5052</v>
      </c>
      <c r="D47" s="4">
        <v>2926080</v>
      </c>
      <c r="E47" s="4">
        <v>47892</v>
      </c>
      <c r="F47">
        <f>B47/C47</f>
        <v>2.9709026128266</v>
      </c>
      <c r="G47">
        <f t="shared" si="9"/>
        <v>61.0974693059384</v>
      </c>
      <c r="H47">
        <f t="shared" si="5"/>
        <v>9.47980997624703</v>
      </c>
    </row>
    <row r="48" spans="1:8">
      <c r="A48" s="3" t="s">
        <v>48</v>
      </c>
      <c r="B48" s="4">
        <v>18782</v>
      </c>
      <c r="C48" s="4">
        <v>5598</v>
      </c>
      <c r="D48" s="4">
        <v>2926080</v>
      </c>
      <c r="E48" s="4">
        <v>48867</v>
      </c>
      <c r="F48">
        <f>B48/C48</f>
        <v>3.35512683101108</v>
      </c>
      <c r="G48">
        <f t="shared" si="9"/>
        <v>59.8784455767696</v>
      </c>
      <c r="H48">
        <f t="shared" si="5"/>
        <v>8.72936763129689</v>
      </c>
    </row>
    <row r="49" spans="1:8">
      <c r="A49" s="3" t="s">
        <v>49</v>
      </c>
      <c r="B49" s="4">
        <v>148483</v>
      </c>
      <c r="C49" s="4">
        <v>9233</v>
      </c>
      <c r="D49" s="4">
        <v>2926080</v>
      </c>
      <c r="E49" s="4">
        <v>49718</v>
      </c>
      <c r="F49">
        <f t="shared" si="10"/>
        <v>16.0817719051229</v>
      </c>
      <c r="G49">
        <f t="shared" si="9"/>
        <v>58.8535339313729</v>
      </c>
      <c r="H49">
        <f t="shared" si="5"/>
        <v>5.38481533629373</v>
      </c>
    </row>
    <row r="50" spans="1:8">
      <c r="A50" s="3" t="s">
        <v>50</v>
      </c>
      <c r="B50" s="4">
        <v>83538</v>
      </c>
      <c r="C50" s="4">
        <v>7454</v>
      </c>
      <c r="D50" s="4">
        <v>2926080</v>
      </c>
      <c r="E50" s="4">
        <v>55482</v>
      </c>
      <c r="F50">
        <f t="shared" si="10"/>
        <v>11.2071371075932</v>
      </c>
      <c r="G50">
        <f t="shared" si="9"/>
        <v>52.7392667892289</v>
      </c>
      <c r="H50">
        <f t="shared" si="5"/>
        <v>7.44325194526429</v>
      </c>
    </row>
    <row r="51" spans="1:8">
      <c r="A51" s="5" t="s">
        <v>17</v>
      </c>
      <c r="B51" s="6">
        <f t="shared" ref="B51:H51" si="11">AVERAGE(B41:B50)</f>
        <v>46716.1</v>
      </c>
      <c r="C51" s="6">
        <f t="shared" si="11"/>
        <v>6549.2</v>
      </c>
      <c r="D51" s="6">
        <f t="shared" si="11"/>
        <v>2926080</v>
      </c>
      <c r="E51" s="6">
        <f t="shared" si="11"/>
        <v>51538.5</v>
      </c>
      <c r="F51" s="5">
        <f t="shared" si="11"/>
        <v>6.55915069632896</v>
      </c>
      <c r="G51" s="5">
        <f t="shared" si="11"/>
        <v>58.1084646094306</v>
      </c>
      <c r="H51" s="5">
        <f t="shared" si="11"/>
        <v>8.21773554491624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compression_report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13175949963</cp:lastModifiedBy>
  <dcterms:created xsi:type="dcterms:W3CDTF">2026-05-27T06:54:00Z</dcterms:created>
  <dcterms:modified xsi:type="dcterms:W3CDTF">2026-07-23T14:59:06Z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FD886C9CC0944309A177841D19BEE8D6_13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